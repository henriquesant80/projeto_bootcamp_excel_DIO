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ng\Desktop\Henrique\DIO Cursos\"/>
    </mc:Choice>
  </mc:AlternateContent>
  <xr:revisionPtr revIDLastSave="0" documentId="13_ncr:1_{83101642-6DA7-4E2A-AE99-16518006EA39}" xr6:coauthVersionLast="47" xr6:coauthVersionMax="47" xr10:uidLastSave="{00000000-0000-0000-0000-000000000000}"/>
  <bookViews>
    <workbookView xWindow="28680" yWindow="-120" windowWidth="29040" windowHeight="15720" firstSheet="1" activeTab="1" xr2:uid="{28BC7EE2-4E36-48BE-994D-C9845E78DFB4}"/>
  </bookViews>
  <sheets>
    <sheet name="APP" sheetId="1" state="hidden" r:id="rId1"/>
    <sheet name="APP_1" sheetId="3" r:id="rId2"/>
    <sheet name="Tabela auxiliar" sheetId="2" r:id="rId3"/>
  </sheets>
  <definedNames>
    <definedName name="Aporte">APP!$C$19</definedName>
    <definedName name="patrimonio">APP!$C$22</definedName>
    <definedName name="qtd_anos">APP!$C$20</definedName>
    <definedName name="Rendimento_carteira">APP!$C$15</definedName>
    <definedName name="salario">APP!$C$14</definedName>
    <definedName name="sugestao_investimento">APP!$C$16</definedName>
    <definedName name="taxa_mensal">APP!$C$21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3" l="1"/>
  <c r="G32" i="3"/>
  <c r="G31" i="3"/>
  <c r="G30" i="3"/>
  <c r="G29" i="3"/>
  <c r="G28" i="3"/>
  <c r="C19" i="3"/>
  <c r="G25" i="3"/>
  <c r="H25" i="3" s="1"/>
  <c r="G24" i="3"/>
  <c r="H24" i="3" s="1"/>
  <c r="G23" i="3"/>
  <c r="H23" i="3" s="1"/>
  <c r="G22" i="3"/>
  <c r="H22" i="3" s="1"/>
  <c r="G21" i="3"/>
  <c r="H21" i="3" s="1"/>
  <c r="G18" i="3"/>
  <c r="G17" i="3"/>
  <c r="C16" i="3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C34" i="1"/>
  <c r="C16" i="1"/>
  <c r="C22" i="1"/>
  <c r="C23" i="1" s="1"/>
  <c r="C27" i="1"/>
  <c r="D27" i="1" s="1"/>
  <c r="C28" i="1"/>
  <c r="D28" i="1" s="1"/>
  <c r="C29" i="1"/>
  <c r="D29" i="1" s="1"/>
  <c r="C30" i="1"/>
  <c r="D30" i="1" s="1"/>
  <c r="C26" i="1"/>
  <c r="D26" i="1" s="1"/>
  <c r="H28" i="3" l="1"/>
  <c r="H29" i="3"/>
  <c r="H30" i="3"/>
  <c r="H31" i="3"/>
  <c r="H32" i="3"/>
  <c r="H33" i="3"/>
  <c r="C40" i="1"/>
  <c r="D40" i="1" s="1"/>
  <c r="C42" i="1"/>
  <c r="D42" i="1" s="1"/>
  <c r="C37" i="1"/>
  <c r="D37" i="1" s="1"/>
  <c r="C39" i="1"/>
  <c r="D39" i="1" s="1"/>
  <c r="C38" i="1"/>
  <c r="D38" i="1" s="1"/>
  <c r="C41" i="1"/>
  <c r="D41" i="1" s="1"/>
  <c r="H34" i="3" l="1"/>
  <c r="D43" i="1"/>
</calcChain>
</file>

<file path=xl/sharedStrings.xml><?xml version="1.0" encoding="utf-8"?>
<sst xmlns="http://schemas.openxmlformats.org/spreadsheetml/2006/main" count="100" uniqueCount="35">
  <si>
    <t>Quanto investir por mês?</t>
  </si>
  <si>
    <t>Por quanto tempo?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</si>
  <si>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</si>
  <si>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</si>
  <si>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</si>
  <si>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</si>
  <si>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</si>
  <si>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</si>
  <si>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</si>
  <si>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</si>
  <si>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Salário</t>
  </si>
  <si>
    <t>Rendimento Carteira</t>
  </si>
  <si>
    <t>INVESTIMENTO MENSAL</t>
  </si>
  <si>
    <t>CONFIGURAÇÕES</t>
  </si>
  <si>
    <t>CENÁRIOS</t>
  </si>
  <si>
    <t>RENDIMENTO</t>
  </si>
  <si>
    <t>DIVIDENDO</t>
  </si>
  <si>
    <t>AGRESSIVO</t>
  </si>
  <si>
    <t>MODERADO</t>
  </si>
  <si>
    <t>CONSERVADOR</t>
  </si>
  <si>
    <t>VALOR DE APORTE MENSAL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</si>
  <si>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</si>
  <si>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</si>
  <si>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</si>
  <si>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</si>
  <si>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</si>
  <si>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</si>
  <si>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</si>
  <si>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FOF's</t>
  </si>
  <si>
    <t>DESENVOLVIMENTO</t>
  </si>
  <si>
    <t>HOTELARIAS</t>
  </si>
  <si>
    <t>%</t>
  </si>
  <si>
    <t>CHAVE</t>
  </si>
  <si>
    <t>Sugestão de aporte mensal (30%)</t>
  </si>
  <si>
    <t>PERFIL DE INVESTIDOR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</si>
</sst>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medium">
        <color theme="1" tint="0.34998626667073579"/>
      </right>
      <top style="medium">
        <color indexed="64"/>
      </top>
      <bottom style="medium">
        <color indexed="64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indexed="64"/>
      </top>
      <bottom style="medium">
        <color indexed="64"/>
      </bottom>
      <diagonal/>
    </border>
    <border>
      <left style="medium">
        <color theme="1" tint="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4.9989318521683403E-2"/>
      </left>
      <right/>
      <top style="medium">
        <color indexed="64"/>
      </top>
      <bottom style="medium">
        <color theme="0" tint="-4.9989318521683403E-2"/>
      </bottom>
      <diagonal/>
    </border>
    <border>
      <left/>
      <right style="medium">
        <color indexed="64"/>
      </right>
      <top style="medium">
        <color indexed="64"/>
      </top>
      <bottom style="medium">
        <color theme="0" tint="-4.9989318521683403E-2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indexed="64"/>
      </bottom>
      <diagonal/>
    </border>
    <border>
      <left/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4" fillId="2" borderId="0" xfId="0" applyFont="1" applyFill="1"/>
    <xf numFmtId="0" fontId="0" fillId="0" borderId="0" xfId="0" applyAlignment="1">
      <alignment horizontal="center" vertical="center"/>
    </xf>
    <xf numFmtId="0" fontId="4" fillId="4" borderId="0" xfId="0" applyFont="1" applyFill="1"/>
    <xf numFmtId="0" fontId="2" fillId="2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64" fontId="1" fillId="3" borderId="7" xfId="1" applyNumberFormat="1" applyFont="1" applyFill="1" applyBorder="1" applyAlignment="1">
      <alignment horizontal="center" vertical="center"/>
    </xf>
    <xf numFmtId="164" fontId="1" fillId="3" borderId="8" xfId="1" applyNumberFormat="1" applyFont="1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3" borderId="0" xfId="0" applyFill="1"/>
    <xf numFmtId="0" fontId="4" fillId="2" borderId="0" xfId="0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9" fontId="0" fillId="0" borderId="0" xfId="1" applyFont="1" applyAlignment="1">
      <alignment horizontal="center" vertical="center"/>
    </xf>
    <xf numFmtId="0" fontId="0" fillId="0" borderId="21" xfId="0" applyBorder="1"/>
    <xf numFmtId="0" fontId="0" fillId="0" borderId="21" xfId="0" applyBorder="1" applyAlignment="1">
      <alignment horizontal="center" vertical="center"/>
    </xf>
    <xf numFmtId="9" fontId="0" fillId="0" borderId="21" xfId="1" applyFont="1" applyBorder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9" fontId="0" fillId="0" borderId="21" xfId="1" applyFont="1" applyFill="1" applyBorder="1" applyAlignment="1">
      <alignment horizontal="center" vertical="center"/>
    </xf>
    <xf numFmtId="9" fontId="1" fillId="4" borderId="17" xfId="1" applyFont="1" applyFill="1" applyBorder="1" applyAlignment="1">
      <alignment horizontal="center" vertical="center"/>
    </xf>
    <xf numFmtId="9" fontId="1" fillId="4" borderId="18" xfId="1" applyFont="1" applyFill="1" applyBorder="1" applyAlignment="1">
      <alignment horizontal="center" vertical="center"/>
    </xf>
    <xf numFmtId="164" fontId="0" fillId="6" borderId="17" xfId="0" applyNumberFormat="1" applyFill="1" applyBorder="1" applyAlignment="1">
      <alignment horizontal="center" vertical="center"/>
    </xf>
    <xf numFmtId="164" fontId="0" fillId="6" borderId="18" xfId="0" applyNumberFormat="1" applyFill="1" applyBorder="1" applyAlignment="1">
      <alignment horizontal="center" vertical="center"/>
    </xf>
    <xf numFmtId="164" fontId="0" fillId="6" borderId="19" xfId="0" applyNumberFormat="1" applyFill="1" applyBorder="1" applyAlignment="1">
      <alignment horizontal="center" vertical="center"/>
    </xf>
    <xf numFmtId="164" fontId="0" fillId="6" borderId="20" xfId="0" applyNumberForma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164" fontId="0" fillId="4" borderId="15" xfId="0" applyNumberFormat="1" applyFill="1" applyBorder="1" applyAlignment="1">
      <alignment horizontal="center" vertical="center"/>
    </xf>
    <xf numFmtId="164" fontId="0" fillId="4" borderId="16" xfId="0" applyNumberFormat="1" applyFill="1" applyBorder="1" applyAlignment="1">
      <alignment horizontal="center" vertical="center"/>
    </xf>
    <xf numFmtId="10" fontId="0" fillId="4" borderId="17" xfId="1" applyNumberFormat="1" applyFont="1" applyFill="1" applyBorder="1" applyAlignment="1">
      <alignment horizontal="center" vertical="center"/>
    </xf>
    <xf numFmtId="10" fontId="0" fillId="4" borderId="18" xfId="1" applyNumberFormat="1" applyFont="1" applyFill="1" applyBorder="1" applyAlignment="1">
      <alignment horizontal="center" vertical="center"/>
    </xf>
    <xf numFmtId="164" fontId="1" fillId="3" borderId="19" xfId="1" applyNumberFormat="1" applyFont="1" applyFill="1" applyBorder="1" applyAlignment="1">
      <alignment horizontal="center" vertical="center"/>
    </xf>
    <xf numFmtId="164" fontId="1" fillId="3" borderId="20" xfId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" fontId="0" fillId="4" borderId="17" xfId="0" applyNumberFormat="1" applyFill="1" applyBorder="1" applyAlignment="1">
      <alignment horizontal="center" vertical="center"/>
    </xf>
    <xf numFmtId="1" fontId="0" fillId="4" borderId="18" xfId="0" applyNumberForma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164" fontId="0" fillId="3" borderId="0" xfId="0" applyNumberFormat="1" applyFill="1" applyAlignment="1">
      <alignment horizontal="center"/>
    </xf>
  </cellXfs>
  <cellStyles count="2">
    <cellStyle name="Normal" xfId="0" builtinId="0"/>
    <cellStyle name="Porcentagem" xfId="1" builtinId="5"/>
  </cellStyles>
  <dxfs count="6">
    <dxf>
      <font>
        <color rgb="FFFF0000"/>
      </font>
    </dxf>
    <dxf>
      <font>
        <color rgb="FFFFC000"/>
      </font>
    </dxf>
    <dxf>
      <font>
        <color theme="9"/>
      </font>
    </dxf>
    <dxf>
      <font>
        <color rgb="FFFF0000"/>
      </font>
    </dxf>
    <dxf>
      <font>
        <color rgb="FFFFC000"/>
      </font>
    </dxf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APP!$C$36</c:f>
              <c:strCache>
                <c:ptCount val="1"/>
                <c:pt idx="0">
                  <c:v>Percentual Sugerido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2700">
                <a:solidFill>
                  <a:schemeClr val="tx1"/>
                </a:solidFill>
              </a:ln>
              <a:effectLst/>
              <a:sp3d contourW="127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173-4579-9F73-404DAC32F6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2700">
                <a:solidFill>
                  <a:schemeClr val="tx1"/>
                </a:solidFill>
              </a:ln>
              <a:effectLst/>
              <a:sp3d contourW="127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173-4579-9F73-404DAC32F6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2700">
                <a:solidFill>
                  <a:schemeClr val="tx1"/>
                </a:solidFill>
              </a:ln>
              <a:effectLst/>
              <a:sp3d contourW="127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173-4579-9F73-404DAC32F6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2700">
                <a:solidFill>
                  <a:schemeClr val="tx1"/>
                </a:solidFill>
              </a:ln>
              <a:effectLst/>
              <a:sp3d contourW="127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173-4579-9F73-404DAC32F6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2700">
                <a:solidFill>
                  <a:schemeClr val="tx1"/>
                </a:solidFill>
              </a:ln>
              <a:effectLst/>
              <a:sp3d contourW="127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173-4579-9F73-404DAC32F6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2700">
                <a:solidFill>
                  <a:schemeClr val="tx1"/>
                </a:solidFill>
              </a:ln>
              <a:effectLst/>
              <a:sp3d contourW="127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173-4579-9F73-404DAC32F6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APP!$C$37:$C$42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0-4FA6-A8CA-B543122D687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3175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APP!$C$36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67BC-423E-AF27-EFE2935DAF4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7BC-423E-AF27-EFE2935DAF4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67BC-423E-AF27-EFE2935DAF4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67BC-423E-AF27-EFE2935DAF4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67BC-423E-AF27-EFE2935DAF4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67BC-423E-AF27-EFE2935DAF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APP!$C$37:$C$42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7BC-423E-AF27-EFE2935DAF4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</xdr:colOff>
      <xdr:row>0</xdr:row>
      <xdr:rowOff>0</xdr:rowOff>
    </xdr:from>
    <xdr:to>
      <xdr:col>3</xdr:col>
      <xdr:colOff>895350</xdr:colOff>
      <xdr:row>10</xdr:row>
      <xdr:rowOff>60959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780C379-CD2A-06E2-8B22-F77C1AE4CF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936" b="17611"/>
        <a:stretch/>
      </xdr:blipFill>
      <xdr:spPr>
        <a:xfrm>
          <a:off x="611505" y="0"/>
          <a:ext cx="6551295" cy="1870709"/>
        </a:xfrm>
        <a:prstGeom prst="rect">
          <a:avLst/>
        </a:prstGeom>
      </xdr:spPr>
    </xdr:pic>
    <xdr:clientData/>
  </xdr:twoCellAnchor>
  <xdr:twoCellAnchor>
    <xdr:from>
      <xdr:col>1</xdr:col>
      <xdr:colOff>839152</xdr:colOff>
      <xdr:row>43</xdr:row>
      <xdr:rowOff>18097</xdr:rowOff>
    </xdr:from>
    <xdr:to>
      <xdr:col>2</xdr:col>
      <xdr:colOff>2285047</xdr:colOff>
      <xdr:row>53</xdr:row>
      <xdr:rowOff>129540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D0C2D0D-C34E-8754-A491-CF1A5029F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</xdr:colOff>
      <xdr:row>19</xdr:row>
      <xdr:rowOff>172403</xdr:rowOff>
    </xdr:from>
    <xdr:to>
      <xdr:col>4</xdr:col>
      <xdr:colOff>0</xdr:colOff>
      <xdr:row>34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F04200-4E9F-40EB-88C0-44B7B9E9A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0</xdr:row>
      <xdr:rowOff>0</xdr:rowOff>
    </xdr:from>
    <xdr:to>
      <xdr:col>8</xdr:col>
      <xdr:colOff>0</xdr:colOff>
      <xdr:row>10</xdr:row>
      <xdr:rowOff>60959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0AC2BC8-274B-4CA5-BE7B-8064C6F079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936" b="17611"/>
        <a:stretch/>
      </xdr:blipFill>
      <xdr:spPr>
        <a:xfrm>
          <a:off x="609600" y="0"/>
          <a:ext cx="9210675" cy="1870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F471-7785-4924-8780-719FB21B0A87}">
  <sheetPr>
    <pageSetUpPr autoPageBreaks="0"/>
  </sheetPr>
  <dimension ref="A1:I43"/>
  <sheetViews>
    <sheetView showGridLines="0" zoomScaleNormal="100" zoomScaleSheetLayoutView="100" workbookViewId="0">
      <selection activeCell="E12" sqref="E12"/>
    </sheetView>
  </sheetViews>
  <sheetFormatPr defaultColWidth="0" defaultRowHeight="14.4" x14ac:dyDescent="0.3"/>
  <cols>
    <col min="1" max="1" width="8.88671875" customWidth="1"/>
    <col min="2" max="2" width="45.6640625" customWidth="1"/>
    <col min="3" max="3" width="36.77734375" customWidth="1"/>
    <col min="4" max="4" width="13.21875" customWidth="1"/>
    <col min="5" max="5" width="2.77734375" customWidth="1"/>
    <col min="6" max="9" width="2.77734375" hidden="1" customWidth="1"/>
    <col min="10" max="11" width="8.88671875" hidden="1" customWidth="1"/>
    <col min="12" max="16384" width="8.88671875" hidden="1"/>
  </cols>
  <sheetData>
    <row r="1" spans="2:4" ht="14.4" customHeight="1" x14ac:dyDescent="0.3"/>
    <row r="2" spans="2:4" ht="14.4" customHeight="1" x14ac:dyDescent="0.3"/>
    <row r="3" spans="2:4" ht="14.4" customHeight="1" x14ac:dyDescent="0.3"/>
    <row r="4" spans="2:4" ht="14.4" customHeight="1" x14ac:dyDescent="0.3"/>
    <row r="5" spans="2:4" ht="14.4" customHeight="1" x14ac:dyDescent="0.3"/>
    <row r="12" spans="2:4" ht="14.4" customHeight="1" x14ac:dyDescent="0.3"/>
    <row r="13" spans="2:4" ht="14.4" customHeight="1" thickBot="1" x14ac:dyDescent="0.35">
      <c r="B13" s="54" t="s">
        <v>13</v>
      </c>
      <c r="C13" s="55"/>
      <c r="D13" s="55"/>
    </row>
    <row r="14" spans="2:4" ht="14.4" customHeight="1" thickBot="1" x14ac:dyDescent="0.35">
      <c r="B14" s="21" t="s">
        <v>10</v>
      </c>
      <c r="C14" s="48">
        <v>2000</v>
      </c>
      <c r="D14" s="49"/>
    </row>
    <row r="15" spans="2:4" ht="14.4" customHeight="1" thickBot="1" x14ac:dyDescent="0.35">
      <c r="B15" s="22" t="s">
        <v>11</v>
      </c>
      <c r="C15" s="50">
        <v>0.01</v>
      </c>
      <c r="D15" s="51"/>
    </row>
    <row r="16" spans="2:4" ht="14.4" customHeight="1" thickBot="1" x14ac:dyDescent="0.35">
      <c r="B16" s="25" t="s">
        <v>33</v>
      </c>
      <c r="C16" s="52">
        <f>salario*30%</f>
        <v>600</v>
      </c>
      <c r="D16" s="53"/>
    </row>
    <row r="17" spans="1:5" ht="14.4" customHeight="1" x14ac:dyDescent="0.3"/>
    <row r="18" spans="1:5" ht="25.8" customHeight="1" thickBot="1" x14ac:dyDescent="0.35">
      <c r="B18" s="46" t="s">
        <v>12</v>
      </c>
      <c r="C18" s="47"/>
      <c r="D18" s="47"/>
    </row>
    <row r="19" spans="1:5" ht="14.4" customHeight="1" thickBot="1" x14ac:dyDescent="0.35">
      <c r="B19" s="19" t="s">
        <v>0</v>
      </c>
      <c r="C19" s="48">
        <v>200</v>
      </c>
      <c r="D19" s="49"/>
    </row>
    <row r="20" spans="1:5" ht="14.4" customHeight="1" thickBot="1" x14ac:dyDescent="0.35">
      <c r="B20" s="20" t="s">
        <v>1</v>
      </c>
      <c r="C20" s="56">
        <v>10</v>
      </c>
      <c r="D20" s="57"/>
    </row>
    <row r="21" spans="1:5" ht="14.4" customHeight="1" thickBot="1" x14ac:dyDescent="0.35">
      <c r="B21" s="20" t="s">
        <v>2</v>
      </c>
      <c r="C21" s="40">
        <v>1.0789999999999999E-2</v>
      </c>
      <c r="D21" s="41"/>
      <c r="E21" s="2"/>
    </row>
    <row r="22" spans="1:5" ht="14.4" customHeight="1" thickBot="1" x14ac:dyDescent="0.35">
      <c r="B22" s="23" t="s">
        <v>3</v>
      </c>
      <c r="C22" s="42">
        <f>FV(taxa_mensal,qtd_anos*12,Aporte*-1)</f>
        <v>48656.842506034438</v>
      </c>
      <c r="D22" s="43"/>
    </row>
    <row r="23" spans="1:5" ht="14.4" customHeight="1" thickBot="1" x14ac:dyDescent="0.35">
      <c r="B23" s="24" t="s">
        <v>4</v>
      </c>
      <c r="C23" s="44">
        <f>patrimonio*Rendimento_carteira</f>
        <v>486.5684250603444</v>
      </c>
      <c r="D23" s="45"/>
    </row>
    <row r="24" spans="1:5" ht="15" thickBot="1" x14ac:dyDescent="0.35"/>
    <row r="25" spans="1:5" ht="24" thickBot="1" x14ac:dyDescent="0.35">
      <c r="B25" s="16" t="s">
        <v>14</v>
      </c>
      <c r="C25" s="17" t="s">
        <v>15</v>
      </c>
      <c r="D25" s="18" t="s">
        <v>16</v>
      </c>
    </row>
    <row r="26" spans="1:5" ht="15" thickBot="1" x14ac:dyDescent="0.35">
      <c r="A26" s="3">
        <v>2</v>
      </c>
      <c r="B26" s="5" t="s">
        <v>5</v>
      </c>
      <c r="C26" s="6">
        <f>FV($C$21,$A26*12,$C$19*-1)</f>
        <v>5445.5254595290435</v>
      </c>
      <c r="D26" s="7">
        <f>C26*Rendimento_carteira</f>
        <v>54.455254595290434</v>
      </c>
    </row>
    <row r="27" spans="1:5" ht="15" thickBot="1" x14ac:dyDescent="0.35">
      <c r="A27" s="3">
        <v>5</v>
      </c>
      <c r="B27" s="8" t="s">
        <v>6</v>
      </c>
      <c r="C27" s="12">
        <f t="shared" ref="C27:C30" si="0">FV($C$21,$A27*12,$C$19*-1)</f>
        <v>16755.382799697527</v>
      </c>
      <c r="D27" s="13">
        <f>C27*Rendimento_carteira</f>
        <v>167.55382799697529</v>
      </c>
    </row>
    <row r="28" spans="1:5" ht="15" thickBot="1" x14ac:dyDescent="0.35">
      <c r="A28" s="3">
        <v>10</v>
      </c>
      <c r="B28" s="8" t="s">
        <v>7</v>
      </c>
      <c r="C28" s="10">
        <f t="shared" si="0"/>
        <v>48656.842506034438</v>
      </c>
      <c r="D28" s="11">
        <f>C28*Rendimento_carteira</f>
        <v>486.5684250603444</v>
      </c>
    </row>
    <row r="29" spans="1:5" ht="15" thickBot="1" x14ac:dyDescent="0.35">
      <c r="A29" s="3">
        <v>20</v>
      </c>
      <c r="B29" s="8" t="s">
        <v>8</v>
      </c>
      <c r="C29" s="12">
        <f t="shared" si="0"/>
        <v>225039.68001941612</v>
      </c>
      <c r="D29" s="13">
        <f>C29*Rendimento_carteira</f>
        <v>2250.3968001941612</v>
      </c>
    </row>
    <row r="30" spans="1:5" ht="15" thickBot="1" x14ac:dyDescent="0.35">
      <c r="A30" s="3">
        <v>30</v>
      </c>
      <c r="B30" s="9" t="s">
        <v>9</v>
      </c>
      <c r="C30" s="14">
        <f t="shared" si="0"/>
        <v>864433.93100094295</v>
      </c>
      <c r="D30" s="15">
        <f>C30*Rendimento_carteira</f>
        <v>8644.339310009429</v>
      </c>
    </row>
    <row r="33" spans="2:4" x14ac:dyDescent="0.3">
      <c r="B33" s="4" t="s">
        <v>21</v>
      </c>
      <c r="C33" s="27" t="s">
        <v>18</v>
      </c>
      <c r="D33" s="1"/>
    </row>
    <row r="34" spans="2:4" x14ac:dyDescent="0.3">
      <c r="B34" s="29" t="s">
        <v>20</v>
      </c>
      <c r="C34" s="28">
        <f>Aporte</f>
        <v>200</v>
      </c>
      <c r="D34" s="26"/>
    </row>
    <row r="36" spans="2:4" x14ac:dyDescent="0.3">
      <c r="B36" s="4" t="s">
        <v>22</v>
      </c>
      <c r="C36" s="4" t="s">
        <v>23</v>
      </c>
      <c r="D36" s="4" t="s">
        <v>24</v>
      </c>
    </row>
    <row r="37" spans="2:4" x14ac:dyDescent="0.3">
      <c r="B37" s="2" t="s">
        <v>25</v>
      </c>
      <c r="C37" s="30">
        <f>VLOOKUP($C$33&amp;"-"&amp;B37,'Tabela auxiliar'!A2:D20,4,FALSE)</f>
        <v>0.32</v>
      </c>
      <c r="D37" s="31">
        <f>C37*$C$34</f>
        <v>64</v>
      </c>
    </row>
    <row r="38" spans="2:4" x14ac:dyDescent="0.3">
      <c r="B38" s="2" t="s">
        <v>26</v>
      </c>
      <c r="C38" s="30">
        <f>VLOOKUP($C$33&amp;"-"&amp;B38,'Tabela auxiliar'!A3:D21,4,FALSE)</f>
        <v>0.35</v>
      </c>
      <c r="D38" s="31">
        <f t="shared" ref="D38:D42" si="1">C38*$C$34</f>
        <v>70</v>
      </c>
    </row>
    <row r="39" spans="2:4" x14ac:dyDescent="0.3">
      <c r="B39" s="2" t="s">
        <v>27</v>
      </c>
      <c r="C39" s="30">
        <f>VLOOKUP($C$33&amp;"-"&amp;B39,'Tabela auxiliar'!A4:D22,4,FALSE)</f>
        <v>0.08</v>
      </c>
      <c r="D39" s="31">
        <f t="shared" si="1"/>
        <v>16</v>
      </c>
    </row>
    <row r="40" spans="2:4" x14ac:dyDescent="0.3">
      <c r="B40" s="2" t="s">
        <v>28</v>
      </c>
      <c r="C40" s="30">
        <f>VLOOKUP($C$33&amp;"-"&amp;B40,'Tabela auxiliar'!A5:D23,4,FALSE)</f>
        <v>0.1</v>
      </c>
      <c r="D40" s="31">
        <f t="shared" si="1"/>
        <v>20</v>
      </c>
    </row>
    <row r="41" spans="2:4" x14ac:dyDescent="0.3">
      <c r="B41" s="2" t="s">
        <v>29</v>
      </c>
      <c r="C41" s="30">
        <f>VLOOKUP($C$33&amp;"-"&amp;B41,'Tabela auxiliar'!A6:D24,4,FALSE)</f>
        <v>0.1</v>
      </c>
      <c r="D41" s="31">
        <f t="shared" si="1"/>
        <v>20</v>
      </c>
    </row>
    <row r="42" spans="2:4" x14ac:dyDescent="0.3">
      <c r="B42" s="2" t="s">
        <v>30</v>
      </c>
      <c r="C42" s="30">
        <f>VLOOKUP($C$33&amp;"-"&amp;B42,'Tabela auxiliar'!A7:D25,4,FALSE)</f>
        <v>0.1</v>
      </c>
      <c r="D42" s="31">
        <f t="shared" si="1"/>
        <v>20</v>
      </c>
    </row>
    <row r="43" spans="2:4" x14ac:dyDescent="0.3">
      <c r="B43" s="32"/>
      <c r="C43" s="32"/>
      <c r="D43" s="33">
        <f>SUM(D37:D42)</f>
        <v>210</v>
      </c>
    </row>
  </sheetData>
  <mergeCells count="10">
    <mergeCell ref="B13:D13"/>
    <mergeCell ref="C19:D19"/>
    <mergeCell ref="C20:D20"/>
    <mergeCell ref="C21:D21"/>
    <mergeCell ref="C22:D22"/>
    <mergeCell ref="C23:D23"/>
    <mergeCell ref="B18:D18"/>
    <mergeCell ref="C14:D14"/>
    <mergeCell ref="C15:D15"/>
    <mergeCell ref="C16:D16"/>
  </mergeCells>
  <conditionalFormatting sqref="C33">
    <cfRule type="containsText" dxfId="5" priority="1" operator="containsText" text="CONSERVADOR">
      <formula>NOT(ISERROR(SEARCH("CONSERVADOR",C33)))</formula>
    </cfRule>
    <cfRule type="containsText" dxfId="4" priority="2" operator="containsText" text="MODERADO">
      <formula>NOT(ISERROR(SEARCH("MODERADO",C33)))</formula>
    </cfRule>
    <cfRule type="containsText" dxfId="3" priority="3" operator="containsText" text="AGRESSIVO">
      <formula>NOT(ISERROR(SEARCH("AGRESSIVO",C33)))</formula>
    </cfRule>
  </conditionalFormatting>
  <dataValidations count="1">
    <dataValidation type="list" allowBlank="1" showInputMessage="1" showErrorMessage="1" sqref="C33" xr:uid="{04522D2F-2354-4189-A103-C8FA6F075CB8}">
      <formula1>"CONSERVADOR,MODERADO,AGRESSIVO"</formula1>
    </dataValidation>
  </dataValidations>
  <pageMargins left="0.23622047244094491" right="0.23622047244094491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953E-F132-442C-BFA0-B67D83253F87}">
  <dimension ref="A1:XFD35"/>
  <sheetViews>
    <sheetView showGridLines="0" tabSelected="1" workbookViewId="0">
      <selection activeCell="A32" sqref="A32"/>
    </sheetView>
  </sheetViews>
  <sheetFormatPr defaultColWidth="0" defaultRowHeight="14.4" zeroHeight="1" x14ac:dyDescent="0.3"/>
  <cols>
    <col min="1" max="1" width="8.88671875" customWidth="1"/>
    <col min="2" max="2" width="30.77734375" customWidth="1"/>
    <col min="3" max="3" width="10.109375" customWidth="1"/>
    <col min="4" max="4" width="20.88671875" customWidth="1"/>
    <col min="5" max="5" width="4.109375" customWidth="1"/>
    <col min="6" max="6" width="30.77734375" customWidth="1"/>
    <col min="7" max="7" width="19.5546875" customWidth="1"/>
    <col min="8" max="8" width="17.77734375" customWidth="1"/>
    <col min="9" max="16381" width="8.88671875" hidden="1"/>
    <col min="16382" max="16382" width="14.33203125" hidden="1"/>
    <col min="16383" max="16383" width="16" hidden="1"/>
    <col min="16384" max="16384" width="29.21875" hidden="1"/>
  </cols>
  <sheetData>
    <row r="1" spans="2:8" ht="14.4" customHeight="1" x14ac:dyDescent="0.3"/>
    <row r="2" spans="2:8" ht="14.4" customHeight="1" x14ac:dyDescent="0.3"/>
    <row r="3" spans="2:8" ht="14.4" customHeight="1" x14ac:dyDescent="0.3"/>
    <row r="4" spans="2:8" ht="14.4" customHeight="1" x14ac:dyDescent="0.3"/>
    <row r="5" spans="2:8" ht="14.4" customHeight="1" x14ac:dyDescent="0.3"/>
    <row r="6" spans="2:8" x14ac:dyDescent="0.3"/>
    <row r="7" spans="2:8" x14ac:dyDescent="0.3"/>
    <row r="8" spans="2:8" x14ac:dyDescent="0.3"/>
    <row r="9" spans="2:8" x14ac:dyDescent="0.3"/>
    <row r="10" spans="2:8" x14ac:dyDescent="0.3"/>
    <row r="11" spans="2:8" x14ac:dyDescent="0.3"/>
    <row r="12" spans="2:8" ht="14.4" customHeight="1" x14ac:dyDescent="0.3"/>
    <row r="13" spans="2:8" ht="25.8" customHeight="1" thickBot="1" x14ac:dyDescent="0.35">
      <c r="B13" s="54" t="s">
        <v>13</v>
      </c>
      <c r="C13" s="55"/>
      <c r="D13" s="55"/>
      <c r="F13" s="46" t="s">
        <v>12</v>
      </c>
      <c r="G13" s="47"/>
      <c r="H13" s="47"/>
    </row>
    <row r="14" spans="2:8" ht="14.4" customHeight="1" thickBot="1" x14ac:dyDescent="0.35">
      <c r="B14" s="21" t="s">
        <v>10</v>
      </c>
      <c r="C14" s="48">
        <v>2000</v>
      </c>
      <c r="D14" s="49"/>
      <c r="F14" s="19" t="s">
        <v>0</v>
      </c>
      <c r="G14" s="48">
        <v>200</v>
      </c>
      <c r="H14" s="49"/>
    </row>
    <row r="15" spans="2:8" ht="14.4" customHeight="1" thickBot="1" x14ac:dyDescent="0.35">
      <c r="B15" s="22" t="s">
        <v>11</v>
      </c>
      <c r="C15" s="50">
        <v>0.01</v>
      </c>
      <c r="D15" s="51"/>
      <c r="F15" s="20" t="s">
        <v>1</v>
      </c>
      <c r="G15" s="56">
        <v>10</v>
      </c>
      <c r="H15" s="57"/>
    </row>
    <row r="16" spans="2:8" ht="14.4" customHeight="1" thickBot="1" x14ac:dyDescent="0.35">
      <c r="B16" s="25" t="s">
        <v>33</v>
      </c>
      <c r="C16" s="52">
        <f>salario*30%</f>
        <v>600</v>
      </c>
      <c r="D16" s="53"/>
      <c r="F16" s="20" t="s">
        <v>2</v>
      </c>
      <c r="G16" s="40">
        <v>1.0789999999999999E-2</v>
      </c>
      <c r="H16" s="41"/>
    </row>
    <row r="17" spans="1:8" ht="14.4" customHeight="1" thickBot="1" x14ac:dyDescent="0.35">
      <c r="F17" s="23" t="s">
        <v>3</v>
      </c>
      <c r="G17" s="42">
        <f>FV(taxa_mensal,qtd_anos*12,Aporte*-1)</f>
        <v>48656.842506034438</v>
      </c>
      <c r="H17" s="43"/>
    </row>
    <row r="18" spans="1:8" ht="14.4" customHeight="1" thickBot="1" x14ac:dyDescent="0.35">
      <c r="B18" s="4" t="s">
        <v>34</v>
      </c>
      <c r="C18" s="58" t="s">
        <v>18</v>
      </c>
      <c r="D18" s="58"/>
      <c r="F18" s="24" t="s">
        <v>4</v>
      </c>
      <c r="G18" s="44">
        <f>patrimonio*Rendimento_carteira</f>
        <v>486.5684250603444</v>
      </c>
      <c r="H18" s="45"/>
    </row>
    <row r="19" spans="1:8" ht="14.4" customHeight="1" thickBot="1" x14ac:dyDescent="0.35">
      <c r="B19" s="29" t="s">
        <v>20</v>
      </c>
      <c r="C19" s="59">
        <f>Aporte</f>
        <v>200</v>
      </c>
      <c r="D19" s="59"/>
    </row>
    <row r="20" spans="1:8" ht="14.4" customHeight="1" thickBot="1" x14ac:dyDescent="0.35">
      <c r="F20" s="16" t="s">
        <v>14</v>
      </c>
      <c r="G20" s="17" t="s">
        <v>15</v>
      </c>
      <c r="H20" s="18" t="s">
        <v>16</v>
      </c>
    </row>
    <row r="21" spans="1:8" ht="14.4" customHeight="1" thickBot="1" x14ac:dyDescent="0.35">
      <c r="E21" s="2"/>
      <c r="F21" s="5" t="s">
        <v>5</v>
      </c>
      <c r="G21" s="6">
        <f>FV($G$16,$A26*12,$G$14*-1)</f>
        <v>5445.5254595290435</v>
      </c>
      <c r="H21" s="7">
        <f>G21*Rendimento_carteira</f>
        <v>54.455254595290434</v>
      </c>
    </row>
    <row r="22" spans="1:8" ht="14.4" customHeight="1" thickBot="1" x14ac:dyDescent="0.35">
      <c r="F22" s="8" t="s">
        <v>6</v>
      </c>
      <c r="G22" s="12">
        <f>FV($G$16,$A27*12,$G$14*-1)</f>
        <v>16755.382799697527</v>
      </c>
      <c r="H22" s="13">
        <f>G22*Rendimento_carteira</f>
        <v>167.55382799697529</v>
      </c>
    </row>
    <row r="23" spans="1:8" ht="14.4" customHeight="1" thickBot="1" x14ac:dyDescent="0.35">
      <c r="F23" s="8" t="s">
        <v>7</v>
      </c>
      <c r="G23" s="10">
        <f>FV($G$16,$A28*12,$G$14*-1)</f>
        <v>48656.842506034438</v>
      </c>
      <c r="H23" s="11">
        <f>G23*Rendimento_carteira</f>
        <v>486.5684250603444</v>
      </c>
    </row>
    <row r="24" spans="1:8" ht="15" thickBot="1" x14ac:dyDescent="0.35">
      <c r="F24" s="8" t="s">
        <v>8</v>
      </c>
      <c r="G24" s="12">
        <f>FV($G$16,$A29*12,$G$14*-1)</f>
        <v>225039.68001941612</v>
      </c>
      <c r="H24" s="13">
        <f>G24*Rendimento_carteira</f>
        <v>2250.3968001941612</v>
      </c>
    </row>
    <row r="25" spans="1:8" ht="15" thickBot="1" x14ac:dyDescent="0.35">
      <c r="F25" s="9" t="s">
        <v>9</v>
      </c>
      <c r="G25" s="14">
        <f>FV($G$16,$A30*12,$G$14*-1)</f>
        <v>864433.93100094295</v>
      </c>
      <c r="H25" s="15">
        <f>G25*Rendimento_carteira</f>
        <v>8644.339310009429</v>
      </c>
    </row>
    <row r="26" spans="1:8" x14ac:dyDescent="0.3">
      <c r="A26" s="3">
        <v>2</v>
      </c>
    </row>
    <row r="27" spans="1:8" x14ac:dyDescent="0.3">
      <c r="A27" s="3">
        <v>5</v>
      </c>
      <c r="F27" s="4" t="s">
        <v>22</v>
      </c>
      <c r="G27" s="4" t="s">
        <v>23</v>
      </c>
      <c r="H27" s="4" t="s">
        <v>24</v>
      </c>
    </row>
    <row r="28" spans="1:8" x14ac:dyDescent="0.3">
      <c r="A28" s="3">
        <v>10</v>
      </c>
      <c r="F28" s="2" t="s">
        <v>25</v>
      </c>
      <c r="G28" s="30">
        <f>VLOOKUP($C$18&amp;"-"&amp;F28,'Tabela auxiliar'!A2:D20,4,FALSE)</f>
        <v>0.32</v>
      </c>
      <c r="H28" s="31">
        <f>G28*$C$19</f>
        <v>64</v>
      </c>
    </row>
    <row r="29" spans="1:8" x14ac:dyDescent="0.3">
      <c r="A29" s="3">
        <v>20</v>
      </c>
      <c r="F29" s="2" t="s">
        <v>26</v>
      </c>
      <c r="G29" s="30">
        <f>VLOOKUP($C$18&amp;"-"&amp;F29,'Tabela auxiliar'!A3:D21,4,FALSE)</f>
        <v>0.35</v>
      </c>
      <c r="H29" s="31">
        <f>G29*$C$19</f>
        <v>70</v>
      </c>
    </row>
    <row r="30" spans="1:8" x14ac:dyDescent="0.3">
      <c r="A30" s="3">
        <v>30</v>
      </c>
      <c r="F30" s="2" t="s">
        <v>27</v>
      </c>
      <c r="G30" s="30">
        <f>VLOOKUP($C$18&amp;"-"&amp;F30,'Tabela auxiliar'!A4:D22,4,FALSE)</f>
        <v>0.08</v>
      </c>
      <c r="H30" s="31">
        <f>G30*$C$19</f>
        <v>16</v>
      </c>
    </row>
    <row r="31" spans="1:8" x14ac:dyDescent="0.3">
      <c r="F31" s="2" t="s">
        <v>28</v>
      </c>
      <c r="G31" s="30">
        <f>VLOOKUP($C$18&amp;"-"&amp;F31,'Tabela auxiliar'!A5:D23,4,FALSE)</f>
        <v>0.1</v>
      </c>
      <c r="H31" s="31">
        <f>G31*$C$19</f>
        <v>20</v>
      </c>
    </row>
    <row r="32" spans="1:8" x14ac:dyDescent="0.3">
      <c r="F32" s="2" t="s">
        <v>29</v>
      </c>
      <c r="G32" s="30">
        <f>VLOOKUP($C$18&amp;"-"&amp;F32,'Tabela auxiliar'!A6:D24,4,FALSE)</f>
        <v>0.1</v>
      </c>
      <c r="H32" s="31">
        <f>G32*$C$19</f>
        <v>20</v>
      </c>
    </row>
    <row r="33" spans="6:8" x14ac:dyDescent="0.3">
      <c r="F33" s="2" t="s">
        <v>30</v>
      </c>
      <c r="G33" s="30">
        <f>VLOOKUP($C$18&amp;"-"&amp;F33,'Tabela auxiliar'!A7:D25,4,FALSE)</f>
        <v>0.1</v>
      </c>
      <c r="H33" s="31">
        <f>G33*$C$19</f>
        <v>20</v>
      </c>
    </row>
    <row r="34" spans="6:8" x14ac:dyDescent="0.3">
      <c r="F34" s="32"/>
      <c r="G34" s="32"/>
      <c r="H34" s="33">
        <f>SUM(H28:H33)</f>
        <v>210</v>
      </c>
    </row>
    <row r="35" spans="6:8" x14ac:dyDescent="0.3"/>
  </sheetData>
  <mergeCells count="12">
    <mergeCell ref="G15:H15"/>
    <mergeCell ref="G16:H16"/>
    <mergeCell ref="G17:H17"/>
    <mergeCell ref="G18:H18"/>
    <mergeCell ref="C18:D18"/>
    <mergeCell ref="C19:D19"/>
    <mergeCell ref="B13:D13"/>
    <mergeCell ref="C14:D14"/>
    <mergeCell ref="C15:D15"/>
    <mergeCell ref="C16:D16"/>
    <mergeCell ref="F13:H13"/>
    <mergeCell ref="G14:H14"/>
  </mergeCells>
  <conditionalFormatting sqref="C18">
    <cfRule type="containsText" dxfId="2" priority="1" operator="containsText" text="CONSERVADOR">
      <formula>NOT(ISERROR(SEARCH("CONSERVADOR",C18)))</formula>
    </cfRule>
    <cfRule type="containsText" dxfId="1" priority="2" operator="containsText" text="MODERADO">
      <formula>NOT(ISERROR(SEARCH("MODERADO",C18)))</formula>
    </cfRule>
    <cfRule type="containsText" dxfId="0" priority="3" operator="containsText" text="AGRESSIVO">
      <formula>NOT(ISERROR(SEARCH("AGRESSIVO",C18)))</formula>
    </cfRule>
  </conditionalFormatting>
  <dataValidations count="1">
    <dataValidation type="list" allowBlank="1" showInputMessage="1" showErrorMessage="1" sqref="C18" xr:uid="{8CD52E5A-A25B-4902-BDE8-1DB65D8380C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7096-C208-4E53-95D9-222BD5649C39}">
  <dimension ref="A2:D20"/>
  <sheetViews>
    <sheetView workbookViewId="0">
      <selection activeCell="D12" sqref="D12"/>
    </sheetView>
  </sheetViews>
  <sheetFormatPr defaultRowHeight="14.4" x14ac:dyDescent="0.3"/>
  <cols>
    <col min="1" max="1" width="32.109375" bestFit="1" customWidth="1"/>
    <col min="2" max="2" width="14" bestFit="1" customWidth="1"/>
    <col min="3" max="3" width="18" bestFit="1" customWidth="1"/>
    <col min="4" max="4" width="18.33203125" bestFit="1" customWidth="1"/>
  </cols>
  <sheetData>
    <row r="2" spans="1:4" x14ac:dyDescent="0.3">
      <c r="A2" t="s">
        <v>32</v>
      </c>
      <c r="B2" s="2" t="s">
        <v>21</v>
      </c>
      <c r="C2" s="2" t="s">
        <v>22</v>
      </c>
      <c r="D2" s="2" t="s">
        <v>31</v>
      </c>
    </row>
    <row r="3" spans="1:4" x14ac:dyDescent="0.3">
      <c r="A3" t="str">
        <f>B3&amp;"-"&amp;C3</f>
        <v>CONSERVADOR-PAPEL</v>
      </c>
      <c r="B3" s="2" t="s">
        <v>19</v>
      </c>
      <c r="C3" s="2" t="s">
        <v>25</v>
      </c>
      <c r="D3" s="34">
        <v>0.3</v>
      </c>
    </row>
    <row r="4" spans="1:4" x14ac:dyDescent="0.3">
      <c r="A4" t="str">
        <f t="shared" ref="A4:A20" si="0">B4&amp;"-"&amp;C4</f>
        <v>CONSERVADOR-TIJOLO</v>
      </c>
      <c r="B4" s="2" t="s">
        <v>19</v>
      </c>
      <c r="C4" s="2" t="s">
        <v>26</v>
      </c>
      <c r="D4" s="34">
        <v>0.5</v>
      </c>
    </row>
    <row r="5" spans="1:4" x14ac:dyDescent="0.3">
      <c r="A5" t="str">
        <f t="shared" si="0"/>
        <v>CONSERVADOR-HÍBRIDOS</v>
      </c>
      <c r="B5" s="2" t="s">
        <v>19</v>
      </c>
      <c r="C5" s="2" t="s">
        <v>27</v>
      </c>
      <c r="D5" s="34">
        <v>0.1</v>
      </c>
    </row>
    <row r="6" spans="1:4" x14ac:dyDescent="0.3">
      <c r="A6" t="str">
        <f t="shared" si="0"/>
        <v>CONSERVADOR-FOF's</v>
      </c>
      <c r="B6" s="2" t="s">
        <v>19</v>
      </c>
      <c r="C6" s="2" t="s">
        <v>28</v>
      </c>
      <c r="D6" s="34">
        <v>0.1</v>
      </c>
    </row>
    <row r="7" spans="1:4" x14ac:dyDescent="0.3">
      <c r="A7" t="str">
        <f t="shared" si="0"/>
        <v>CONSERVADOR-DESENVOLVIMENTO</v>
      </c>
      <c r="B7" s="2" t="s">
        <v>19</v>
      </c>
      <c r="C7" s="2" t="s">
        <v>29</v>
      </c>
      <c r="D7" s="34">
        <v>0</v>
      </c>
    </row>
    <row r="8" spans="1:4" ht="15" thickBot="1" x14ac:dyDescent="0.35">
      <c r="A8" s="35" t="str">
        <f t="shared" si="0"/>
        <v>CONSERVADOR-HOTELARIAS</v>
      </c>
      <c r="B8" s="36" t="s">
        <v>19</v>
      </c>
      <c r="C8" s="36" t="s">
        <v>30</v>
      </c>
      <c r="D8" s="37">
        <v>0</v>
      </c>
    </row>
    <row r="9" spans="1:4" x14ac:dyDescent="0.3">
      <c r="A9" t="str">
        <f t="shared" si="0"/>
        <v>MODERADO-PAPEL</v>
      </c>
      <c r="B9" s="2" t="s">
        <v>18</v>
      </c>
      <c r="C9" s="2" t="s">
        <v>25</v>
      </c>
      <c r="D9" s="38">
        <v>0.32</v>
      </c>
    </row>
    <row r="10" spans="1:4" x14ac:dyDescent="0.3">
      <c r="A10" t="str">
        <f t="shared" si="0"/>
        <v>MODERADO-TIJOLO</v>
      </c>
      <c r="B10" s="2" t="s">
        <v>18</v>
      </c>
      <c r="C10" s="2" t="s">
        <v>26</v>
      </c>
      <c r="D10" s="38">
        <v>0.35</v>
      </c>
    </row>
    <row r="11" spans="1:4" x14ac:dyDescent="0.3">
      <c r="A11" t="str">
        <f t="shared" si="0"/>
        <v>MODERADO-HÍBRIDOS</v>
      </c>
      <c r="B11" s="2" t="s">
        <v>18</v>
      </c>
      <c r="C11" s="2" t="s">
        <v>27</v>
      </c>
      <c r="D11" s="38">
        <v>0.08</v>
      </c>
    </row>
    <row r="12" spans="1:4" x14ac:dyDescent="0.3">
      <c r="A12" t="str">
        <f t="shared" si="0"/>
        <v>MODERADO-FOF's</v>
      </c>
      <c r="B12" s="2" t="s">
        <v>18</v>
      </c>
      <c r="C12" s="2" t="s">
        <v>28</v>
      </c>
      <c r="D12" s="38">
        <v>0.1</v>
      </c>
    </row>
    <row r="13" spans="1:4" x14ac:dyDescent="0.3">
      <c r="A13" t="str">
        <f t="shared" si="0"/>
        <v>MODERADO-DESENVOLVIMENTO</v>
      </c>
      <c r="B13" s="2" t="s">
        <v>18</v>
      </c>
      <c r="C13" s="2" t="s">
        <v>29</v>
      </c>
      <c r="D13" s="38">
        <v>0.1</v>
      </c>
    </row>
    <row r="14" spans="1:4" ht="15" thickBot="1" x14ac:dyDescent="0.35">
      <c r="A14" s="35" t="str">
        <f t="shared" si="0"/>
        <v>MODERADO-HOTELARIAS</v>
      </c>
      <c r="B14" s="36" t="s">
        <v>18</v>
      </c>
      <c r="C14" s="36" t="s">
        <v>30</v>
      </c>
      <c r="D14" s="39">
        <v>0.1</v>
      </c>
    </row>
    <row r="15" spans="1:4" x14ac:dyDescent="0.3">
      <c r="A15" t="str">
        <f t="shared" si="0"/>
        <v>AGRESSIVO-PAPEL</v>
      </c>
      <c r="B15" s="2" t="s">
        <v>17</v>
      </c>
      <c r="C15" s="2" t="s">
        <v>25</v>
      </c>
      <c r="D15" s="38">
        <v>0.5</v>
      </c>
    </row>
    <row r="16" spans="1:4" x14ac:dyDescent="0.3">
      <c r="A16" t="str">
        <f t="shared" si="0"/>
        <v>AGRESSIVO-TIJOLO</v>
      </c>
      <c r="B16" s="2" t="s">
        <v>17</v>
      </c>
      <c r="C16" s="2" t="s">
        <v>26</v>
      </c>
      <c r="D16" s="38">
        <v>0.1</v>
      </c>
    </row>
    <row r="17" spans="1:4" x14ac:dyDescent="0.3">
      <c r="A17" t="str">
        <f t="shared" si="0"/>
        <v>AGRESSIVO-HÍBRIDOS</v>
      </c>
      <c r="B17" s="2" t="s">
        <v>17</v>
      </c>
      <c r="C17" s="2" t="s">
        <v>27</v>
      </c>
      <c r="D17" s="38">
        <v>0.05</v>
      </c>
    </row>
    <row r="18" spans="1:4" x14ac:dyDescent="0.3">
      <c r="A18" t="str">
        <f t="shared" si="0"/>
        <v>AGRESSIVO-FOF's</v>
      </c>
      <c r="B18" s="2" t="s">
        <v>17</v>
      </c>
      <c r="C18" s="2" t="s">
        <v>28</v>
      </c>
      <c r="D18" s="38">
        <v>0.05</v>
      </c>
    </row>
    <row r="19" spans="1:4" x14ac:dyDescent="0.3">
      <c r="A19" t="str">
        <f t="shared" si="0"/>
        <v>AGRESSIVO-DESENVOLVIMENTO</v>
      </c>
      <c r="B19" s="2" t="s">
        <v>17</v>
      </c>
      <c r="C19" s="2" t="s">
        <v>29</v>
      </c>
      <c r="D19" s="38">
        <v>0.2</v>
      </c>
    </row>
    <row r="20" spans="1:4" x14ac:dyDescent="0.3">
      <c r="A20" t="str">
        <f t="shared" si="0"/>
        <v>AGRESSIVO-HOTELARIAS</v>
      </c>
      <c r="B20" s="2" t="s">
        <v>17</v>
      </c>
      <c r="C20" s="2" t="s">
        <v>30</v>
      </c>
      <c r="D20" s="3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7</vt:i4>
      </vt:variant>
    </vt:vector>
  </HeadingPairs>
  <TitlesOfParts>
    <vt:vector size="10" baseType="lpstr">
      <vt:lpstr>APP</vt:lpstr>
      <vt:lpstr>APP_1</vt:lpstr>
      <vt:lpstr>Tabela auxiliar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lastPrinted>2026-09-10T02:59:34Z</cp:lastPrinted>
  <dcterms:created xsi:type="dcterms:W3CDTF">2026-09-10T00:03:04Z</dcterms:created>
  <dcterms:modified xsi:type="dcterms:W3CDTF">2026-09-23T23:10:18Z</dcterms:modified>
</cp:coreProperties>
</file>